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OES" sheetId="1" state="visible" r:id="rId1"/>
    <sheet name="FATURAMENTO" sheetId="2" state="visible" r:id="rId2"/>
    <sheet name="CUSTOS" sheetId="3" state="visible" r:id="rId3"/>
    <sheet name="BANCOS_SALDOS" sheetId="4" state="visible" r:id="rId4"/>
    <sheet name="TRANSACOES" sheetId="5" state="visible" r:id="rId5"/>
  </sheets>
  <definedNames>
    <definedName name="_xlnm._FilterDatabase" localSheetId="4" hidden="1">'TRANSACOES'!$A$1:$G$31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R$ #,##0.00"/>
    <numFmt numFmtId="165" formatCode="yyyy-mm-dd"/>
    <numFmt numFmtId="166" formatCode="DD/MM/YYYY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0E2F7A"/>
      <sz val="12"/>
    </font>
    <font>
      <name val="Arial"/>
      <b val="1"/>
      <color rgb="00FFFFFF"/>
      <sz val="11"/>
    </font>
    <font>
      <name val="Arial"/>
      <color rgb="003C4E6E"/>
      <sz val="10"/>
    </font>
    <font>
      <name val="Arial"/>
      <sz val="10"/>
    </font>
    <font>
      <name val="Arial"/>
      <color rgb="000000FF"/>
      <sz val="10"/>
    </font>
    <font>
      <name val="Arial"/>
      <b val="1"/>
      <sz val="10"/>
    </font>
    <font>
      <name val="Arial"/>
      <b val="1"/>
      <color rgb="000F7B5A"/>
      <sz val="10"/>
    </font>
    <font>
      <name val="Arial"/>
      <b val="1"/>
      <color rgb="00D63047"/>
      <sz val="10"/>
    </font>
  </fonts>
  <fills count="7">
    <fill>
      <patternFill/>
    </fill>
    <fill>
      <patternFill patternType="gray125"/>
    </fill>
    <fill>
      <patternFill patternType="solid">
        <fgColor rgb="000E2F7A"/>
      </patternFill>
    </fill>
    <fill>
      <patternFill patternType="solid">
        <fgColor rgb="001A4BBF"/>
      </patternFill>
    </fill>
    <fill>
      <patternFill patternType="solid">
        <fgColor rgb="00EBF0FC"/>
      </patternFill>
    </fill>
    <fill>
      <patternFill patternType="solid">
        <fgColor rgb="00F0F4FF"/>
      </patternFill>
    </fill>
    <fill>
      <patternFill patternType="solid">
        <fgColor rgb="00FFFDE7"/>
      </patternFill>
    </fill>
  </fills>
  <borders count="2">
    <border>
      <left/>
      <right/>
      <top/>
      <bottom/>
      <diagonal/>
    </border>
    <border>
      <left style="thin">
        <color rgb="00C4CEDE"/>
      </left>
      <right style="thin">
        <color rgb="00C4CEDE"/>
      </right>
      <top style="thin">
        <color rgb="00C4CEDE"/>
      </top>
      <bottom style="thin">
        <color rgb="00C4CEDE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164" fontId="6" fillId="6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 wrapText="1"/>
    </xf>
    <xf numFmtId="164" fontId="7" fillId="5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166" fontId="5" fillId="5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right" vertical="center"/>
    </xf>
    <xf numFmtId="166" fontId="5" fillId="0" borderId="1" applyAlignment="1" pivotButton="0" quotePrefix="0" xfId="0">
      <alignment horizontal="center" vertical="center"/>
    </xf>
    <xf numFmtId="164" fontId="9" fillId="0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164" fontId="8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70" customWidth="1" min="3" max="3"/>
  </cols>
  <sheetData>
    <row r="2" ht="52" customHeight="1">
      <c r="B2" s="1" t="inlineStr">
        <is>
          <t>CFO Agent - Planilha de Preenchimento Mensal</t>
        </is>
      </c>
    </row>
    <row r="4" ht="28" customHeight="1">
      <c r="B4" s="2" t="inlineStr">
        <is>
          <t>Preencha os dados de cada mes nas abas correspondentes</t>
        </is>
      </c>
    </row>
    <row r="6" ht="24" customHeight="1">
      <c r="B6" s="3" t="inlineStr">
        <is>
          <t>1</t>
        </is>
      </c>
      <c r="C6" s="4" t="inlineStr">
        <is>
          <t>Preencha apenas as celulas com fundo branco ou amarelo claro (campos de entrada).</t>
        </is>
      </c>
    </row>
    <row r="7" ht="24" customHeight="1">
      <c r="B7" s="3" t="inlineStr">
        <is>
          <t>2</t>
        </is>
      </c>
      <c r="C7" s="4" t="inlineStr">
        <is>
          <t>Nao altere a estrutura das abas, nomes de colunas ou formulas existentes.</t>
        </is>
      </c>
    </row>
    <row r="8" ht="24" customHeight="1">
      <c r="B8" s="3" t="inlineStr">
        <is>
          <t>3</t>
        </is>
      </c>
      <c r="C8" s="4" t="inlineStr">
        <is>
          <t>Salve o arquivo e envie para a equipe CFO Agent mensalmente (ate o dia 5).</t>
        </is>
      </c>
    </row>
    <row r="9" ht="24" customHeight="1">
      <c r="B9" s="3" t="inlineStr">
        <is>
          <t>4</t>
        </is>
      </c>
      <c r="C9" s="4" t="inlineStr">
        <is>
          <t>Para duvidas: suporte@cfoagent.com.br</t>
        </is>
      </c>
    </row>
    <row r="10" ht="24" customHeight="1">
      <c r="B10" s="3" t="inlineStr">
        <is>
          <t>5</t>
        </is>
      </c>
      <c r="C10" s="4" t="inlineStr">
        <is>
          <t>Abas: FATURAMENTO | CUSTOS | BANCOS_SALDOS | TRANSACOES</t>
        </is>
      </c>
    </row>
  </sheetData>
  <mergeCells count="2">
    <mergeCell ref="B4:C4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6" customWidth="1" min="3" max="3"/>
    <col width="28" customWidth="1" min="4" max="4"/>
    <col width="26" customWidth="1" min="5" max="5"/>
    <col width="28" customWidth="1" min="6" max="6"/>
  </cols>
  <sheetData>
    <row r="1" ht="32" customHeight="1">
      <c r="A1" s="5" t="inlineStr">
        <is>
          <t>Mes</t>
        </is>
      </c>
      <c r="B1" s="5" t="inlineStr">
        <is>
          <t>Ano</t>
        </is>
      </c>
      <c r="C1" s="5" t="inlineStr">
        <is>
          <t>Faturamento Bruto (R$)</t>
        </is>
      </c>
      <c r="D1" s="5" t="inlineStr">
        <is>
          <t>Deducoes/Devolucoes (R$)</t>
        </is>
      </c>
      <c r="E1" s="5" t="inlineStr">
        <is>
          <t>Faturamento Liquido (R$)</t>
        </is>
      </c>
      <c r="F1" s="5" t="inlineStr">
        <is>
          <t>Observacoes</t>
        </is>
      </c>
    </row>
    <row r="2" ht="22" customHeight="1">
      <c r="A2" s="6" t="inlineStr">
        <is>
          <t>Jan</t>
        </is>
      </c>
      <c r="B2" s="6" t="n">
        <v>2026</v>
      </c>
      <c r="C2" s="7" t="n">
        <v>395000</v>
      </c>
      <c r="D2" s="7" t="n">
        <v>5000</v>
      </c>
      <c r="E2" s="8">
        <f>C2-D2</f>
        <v/>
      </c>
      <c r="F2" s="9" t="inlineStr"/>
    </row>
    <row r="3" ht="22" customHeight="1">
      <c r="A3" s="10" t="inlineStr">
        <is>
          <t>Fev</t>
        </is>
      </c>
      <c r="B3" s="10" t="n">
        <v>2026</v>
      </c>
      <c r="C3" s="11" t="n">
        <v>357500</v>
      </c>
      <c r="D3" s="11" t="n">
        <v>8000</v>
      </c>
      <c r="E3" s="12">
        <f>C3-D3</f>
        <v/>
      </c>
      <c r="F3" s="13" t="inlineStr"/>
    </row>
    <row r="4" ht="22" customHeight="1">
      <c r="A4" s="6" t="inlineStr">
        <is>
          <t>Mar</t>
        </is>
      </c>
      <c r="B4" s="6" t="n">
        <v>2026</v>
      </c>
      <c r="C4" s="7" t="n">
        <v>420000</v>
      </c>
      <c r="D4" s="7" t="n">
        <v>6500</v>
      </c>
      <c r="E4" s="8">
        <f>C4-D4</f>
        <v/>
      </c>
      <c r="F4" s="9" t="inlineStr"/>
    </row>
    <row r="5" ht="22" customHeight="1">
      <c r="A5" s="10" t="inlineStr">
        <is>
          <t>Abr</t>
        </is>
      </c>
      <c r="B5" s="10" t="n">
        <v>2026</v>
      </c>
      <c r="C5" s="14" t="n"/>
      <c r="D5" s="14" t="n"/>
      <c r="E5" s="12">
        <f>C5-D5</f>
        <v/>
      </c>
      <c r="F5" s="13" t="inlineStr"/>
    </row>
    <row r="6" ht="22" customHeight="1">
      <c r="A6" s="6" t="inlineStr">
        <is>
          <t>Mai</t>
        </is>
      </c>
      <c r="B6" s="6" t="n">
        <v>2026</v>
      </c>
      <c r="C6" s="14" t="n"/>
      <c r="D6" s="14" t="n"/>
      <c r="E6" s="8">
        <f>C6-D6</f>
        <v/>
      </c>
      <c r="F6" s="9" t="inlineStr"/>
    </row>
    <row r="7" ht="22" customHeight="1">
      <c r="A7" s="10" t="inlineStr">
        <is>
          <t>Jun</t>
        </is>
      </c>
      <c r="B7" s="10" t="n">
        <v>2026</v>
      </c>
      <c r="C7" s="14" t="n"/>
      <c r="D7" s="14" t="n"/>
      <c r="E7" s="12">
        <f>C7-D7</f>
        <v/>
      </c>
      <c r="F7" s="13" t="inlineStr"/>
    </row>
    <row r="8" ht="22" customHeight="1">
      <c r="A8" s="6" t="inlineStr">
        <is>
          <t>Jul</t>
        </is>
      </c>
      <c r="B8" s="6" t="n">
        <v>2026</v>
      </c>
      <c r="C8" s="14" t="n"/>
      <c r="D8" s="14" t="n"/>
      <c r="E8" s="8">
        <f>C8-D8</f>
        <v/>
      </c>
      <c r="F8" s="9" t="inlineStr"/>
    </row>
    <row r="9" ht="22" customHeight="1">
      <c r="A9" s="10" t="inlineStr">
        <is>
          <t>Ago</t>
        </is>
      </c>
      <c r="B9" s="10" t="n">
        <v>2026</v>
      </c>
      <c r="C9" s="14" t="n"/>
      <c r="D9" s="14" t="n"/>
      <c r="E9" s="12">
        <f>C9-D9</f>
        <v/>
      </c>
      <c r="F9" s="13" t="inlineStr"/>
    </row>
    <row r="10" ht="22" customHeight="1">
      <c r="A10" s="6" t="inlineStr">
        <is>
          <t>Set</t>
        </is>
      </c>
      <c r="B10" s="6" t="n">
        <v>2026</v>
      </c>
      <c r="C10" s="14" t="n"/>
      <c r="D10" s="14" t="n"/>
      <c r="E10" s="8">
        <f>C10-D10</f>
        <v/>
      </c>
      <c r="F10" s="9" t="inlineStr"/>
    </row>
    <row r="11" ht="22" customHeight="1">
      <c r="A11" s="10" t="inlineStr">
        <is>
          <t>Out</t>
        </is>
      </c>
      <c r="B11" s="10" t="n">
        <v>2026</v>
      </c>
      <c r="C11" s="14" t="n"/>
      <c r="D11" s="14" t="n"/>
      <c r="E11" s="12">
        <f>C11-D11</f>
        <v/>
      </c>
      <c r="F11" s="13" t="inlineStr"/>
    </row>
    <row r="12" ht="22" customHeight="1">
      <c r="A12" s="6" t="inlineStr">
        <is>
          <t>Nov</t>
        </is>
      </c>
      <c r="B12" s="6" t="n">
        <v>2026</v>
      </c>
      <c r="C12" s="14" t="n"/>
      <c r="D12" s="14" t="n"/>
      <c r="E12" s="8">
        <f>C12-D12</f>
        <v/>
      </c>
      <c r="F12" s="9" t="inlineStr"/>
    </row>
    <row r="13" ht="22" customHeight="1">
      <c r="A13" s="10" t="inlineStr">
        <is>
          <t>Dez</t>
        </is>
      </c>
      <c r="B13" s="10" t="n">
        <v>2026</v>
      </c>
      <c r="C13" s="14" t="n"/>
      <c r="D13" s="14" t="n"/>
      <c r="E13" s="12">
        <f>C13-D13</f>
        <v/>
      </c>
      <c r="F13" s="13" t="inlineStr"/>
    </row>
    <row r="14" ht="26" customHeight="1">
      <c r="A14" s="15" t="inlineStr">
        <is>
          <t>TOTAL</t>
        </is>
      </c>
      <c r="B14" s="16" t="inlineStr"/>
      <c r="C14" s="17">
        <f>SUM(C2:C13)</f>
        <v/>
      </c>
      <c r="D14" s="17">
        <f>SUM(D2:D13)</f>
        <v/>
      </c>
      <c r="E14" s="17">
        <f>SUM(E2:E13)</f>
        <v/>
      </c>
      <c r="F14" s="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32" customHeight="1">
      <c r="A1" s="5" t="inlineStr">
        <is>
          <t>Categoria de Custo</t>
        </is>
      </c>
      <c r="B1" s="5" t="inlineStr">
        <is>
          <t>Jan/26</t>
        </is>
      </c>
      <c r="C1" s="5" t="inlineStr">
        <is>
          <t>Fev/26</t>
        </is>
      </c>
      <c r="D1" s="5" t="inlineStr">
        <is>
          <t>Mar/26</t>
        </is>
      </c>
      <c r="E1" s="5" t="inlineStr">
        <is>
          <t>Abr/26</t>
        </is>
      </c>
      <c r="F1" s="5" t="inlineStr">
        <is>
          <t>Mai/26</t>
        </is>
      </c>
      <c r="G1" s="5" t="inlineStr">
        <is>
          <t>Jun/26</t>
        </is>
      </c>
      <c r="H1" s="5" t="inlineStr">
        <is>
          <t>Jul/26</t>
        </is>
      </c>
      <c r="I1" s="5" t="inlineStr">
        <is>
          <t>Ago/26</t>
        </is>
      </c>
      <c r="J1" s="5" t="inlineStr">
        <is>
          <t>Set/26</t>
        </is>
      </c>
      <c r="K1" s="5" t="inlineStr">
        <is>
          <t>Out/26</t>
        </is>
      </c>
      <c r="L1" s="5" t="inlineStr">
        <is>
          <t>Nov/26</t>
        </is>
      </c>
      <c r="M1" s="5" t="inlineStr">
        <is>
          <t>Dez/26</t>
        </is>
      </c>
      <c r="N1" s="18" t="inlineStr">
        <is>
          <t>TOTAL</t>
        </is>
      </c>
    </row>
    <row r="2" ht="22" customHeight="1">
      <c r="A2" s="9" t="inlineStr">
        <is>
          <t>Equipe Tecnica</t>
        </is>
      </c>
      <c r="B2" s="7" t="n">
        <v>45000</v>
      </c>
      <c r="C2" s="7" t="n">
        <v>47000</v>
      </c>
      <c r="D2" s="14" t="n"/>
      <c r="E2" s="14" t="n"/>
      <c r="F2" s="14" t="n"/>
      <c r="G2" s="14" t="n"/>
      <c r="H2" s="14" t="n"/>
      <c r="I2" s="14" t="n"/>
      <c r="J2" s="14" t="n"/>
      <c r="K2" s="14" t="n"/>
      <c r="L2" s="14" t="n"/>
      <c r="M2" s="14" t="n"/>
      <c r="N2" s="19">
        <f>SUM(B2:M2)</f>
        <v/>
      </c>
    </row>
    <row r="3" ht="22" customHeight="1">
      <c r="A3" s="13" t="inlineStr">
        <is>
          <t>Salarios + VT + VR + VA</t>
        </is>
      </c>
      <c r="B3" s="11" t="n">
        <v>85000</v>
      </c>
      <c r="C3" s="11" t="n">
        <v>88000</v>
      </c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  <c r="N3" s="20">
        <f>SUM(B3:M3)</f>
        <v/>
      </c>
    </row>
    <row r="4" ht="22" customHeight="1">
      <c r="A4" s="9" t="inlineStr">
        <is>
          <t>Despesas com Diretoria</t>
        </is>
      </c>
      <c r="B4" s="7" t="n">
        <v>22000</v>
      </c>
      <c r="C4" s="7" t="n">
        <v>22000</v>
      </c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  <c r="N4" s="19">
        <f>SUM(B4:M4)</f>
        <v/>
      </c>
    </row>
    <row r="5" ht="22" customHeight="1">
      <c r="A5" s="13" t="inlineStr">
        <is>
          <t>Insumos</t>
        </is>
      </c>
      <c r="B5" s="11" t="n">
        <v>38000</v>
      </c>
      <c r="C5" s="11" t="n">
        <v>41000</v>
      </c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  <c r="N5" s="20">
        <f>SUM(B5:M5)</f>
        <v/>
      </c>
    </row>
    <row r="6" ht="22" customHeight="1">
      <c r="A6" s="9" t="inlineStr">
        <is>
          <t>Despesas com Imovel</t>
        </is>
      </c>
      <c r="B6" s="7" t="n">
        <v>12000</v>
      </c>
      <c r="C6" s="7" t="n">
        <v>12000</v>
      </c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9">
        <f>SUM(B6:M6)</f>
        <v/>
      </c>
    </row>
    <row r="7" ht="22" customHeight="1">
      <c r="A7" s="13" t="inlineStr">
        <is>
          <t>Despesa Emprestimo/Financiamento</t>
        </is>
      </c>
      <c r="B7" s="11" t="n">
        <v>18000</v>
      </c>
      <c r="C7" s="11" t="n">
        <v>18000</v>
      </c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20">
        <f>SUM(B7:M7)</f>
        <v/>
      </c>
    </row>
    <row r="8" ht="22" customHeight="1">
      <c r="A8" s="9" t="inlineStr">
        <is>
          <t>Profissionais Externos</t>
        </is>
      </c>
      <c r="B8" s="7" t="n">
        <v>15000</v>
      </c>
      <c r="C8" s="7" t="n">
        <v>16500</v>
      </c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9">
        <f>SUM(B8:M8)</f>
        <v/>
      </c>
    </row>
    <row r="9" ht="22" customHeight="1">
      <c r="A9" s="13" t="inlineStr">
        <is>
          <t>Imposto sobre Vendas</t>
        </is>
      </c>
      <c r="B9" s="11" t="n">
        <v>28000</v>
      </c>
      <c r="C9" s="11" t="n">
        <v>25500</v>
      </c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20">
        <f>SUM(B9:M9)</f>
        <v/>
      </c>
    </row>
    <row r="10" ht="22" customHeight="1">
      <c r="A10" s="9" t="inlineStr">
        <is>
          <t>Marketing</t>
        </is>
      </c>
      <c r="B10" s="7" t="n">
        <v>9500</v>
      </c>
      <c r="C10" s="7" t="n">
        <v>9500</v>
      </c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9">
        <f>SUM(B10:M10)</f>
        <v/>
      </c>
    </row>
    <row r="11" ht="22" customHeight="1">
      <c r="A11" s="13" t="inlineStr">
        <is>
          <t>Despesas Financeiras</t>
        </is>
      </c>
      <c r="B11" s="11" t="n">
        <v>5500</v>
      </c>
      <c r="C11" s="11" t="n">
        <v>5800</v>
      </c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20">
        <f>SUM(B11:M11)</f>
        <v/>
      </c>
    </row>
    <row r="12" ht="22" customHeight="1">
      <c r="A12" s="9" t="inlineStr">
        <is>
          <t>Impostos/Despesas Salarios</t>
        </is>
      </c>
      <c r="B12" s="7" t="n">
        <v>21000</v>
      </c>
      <c r="C12" s="7" t="n">
        <v>22000</v>
      </c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9">
        <f>SUM(B12:M12)</f>
        <v/>
      </c>
    </row>
    <row r="13" ht="22" customHeight="1">
      <c r="A13" s="13" t="inlineStr">
        <is>
          <t>Investimento</t>
        </is>
      </c>
      <c r="B13" s="11" t="n">
        <v>8000</v>
      </c>
      <c r="C13" s="11" t="n">
        <v>0</v>
      </c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20">
        <f>SUM(B13:M13)</f>
        <v/>
      </c>
    </row>
    <row r="14" ht="22" customHeight="1">
      <c r="A14" s="9" t="inlineStr">
        <is>
          <t>Despesas Administrativas</t>
        </is>
      </c>
      <c r="B14" s="7" t="n">
        <v>7500</v>
      </c>
      <c r="C14" s="7" t="n">
        <v>7500</v>
      </c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9">
        <f>SUM(B14:M14)</f>
        <v/>
      </c>
    </row>
    <row r="15" ht="22" customHeight="1">
      <c r="A15" s="13" t="inlineStr">
        <is>
          <t>Despesa TI + Telecom</t>
        </is>
      </c>
      <c r="B15" s="11" t="n">
        <v>6500</v>
      </c>
      <c r="C15" s="11" t="n">
        <v>6500</v>
      </c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20">
        <f>SUM(B15:M15)</f>
        <v/>
      </c>
    </row>
    <row r="16" ht="22" customHeight="1">
      <c r="A16" s="9" t="inlineStr">
        <is>
          <t>Laboratorios Externos</t>
        </is>
      </c>
      <c r="B16" s="7" t="n">
        <v>11000</v>
      </c>
      <c r="C16" s="7" t="n">
        <v>9500</v>
      </c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9">
        <f>SUM(B16:M16)</f>
        <v/>
      </c>
    </row>
    <row r="17" ht="22" customHeight="1">
      <c r="A17" s="13" t="inlineStr">
        <is>
          <t>Despesa Veiculos</t>
        </is>
      </c>
      <c r="B17" s="11" t="n">
        <v>4500</v>
      </c>
      <c r="C17" s="11" t="n">
        <v>4200</v>
      </c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20">
        <f>SUM(B17:M17)</f>
        <v/>
      </c>
    </row>
    <row r="18" ht="22" customHeight="1">
      <c r="A18" s="9" t="inlineStr">
        <is>
          <t>Outros Custos</t>
        </is>
      </c>
      <c r="B18" s="7" t="n">
        <v>3000</v>
      </c>
      <c r="C18" s="7" t="n">
        <v>2800</v>
      </c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9">
        <f>SUM(B18:M18)</f>
        <v/>
      </c>
    </row>
    <row r="19" ht="26" customHeight="1">
      <c r="A19" s="15" t="inlineStr">
        <is>
          <t>TOTAL CUSTOS</t>
        </is>
      </c>
      <c r="B19" s="17">
        <f>SUM(B2:B18)</f>
        <v/>
      </c>
      <c r="C19" s="17">
        <f>SUM(C2:C18)</f>
        <v/>
      </c>
      <c r="D19" s="17">
        <f>SUM(D2:D18)</f>
        <v/>
      </c>
      <c r="E19" s="17">
        <f>SUM(E2:E18)</f>
        <v/>
      </c>
      <c r="F19" s="17">
        <f>SUM(F2:F18)</f>
        <v/>
      </c>
      <c r="G19" s="17">
        <f>SUM(G2:G18)</f>
        <v/>
      </c>
      <c r="H19" s="17">
        <f>SUM(H2:H18)</f>
        <v/>
      </c>
      <c r="I19" s="17">
        <f>SUM(I2:I18)</f>
        <v/>
      </c>
      <c r="J19" s="17">
        <f>SUM(J2:J18)</f>
        <v/>
      </c>
      <c r="K19" s="17">
        <f>SUM(K2:K18)</f>
        <v/>
      </c>
      <c r="L19" s="17">
        <f>SUM(L2:L18)</f>
        <v/>
      </c>
      <c r="M19" s="17">
        <f>SUM(M2:M18)</f>
        <v/>
      </c>
      <c r="N19" s="17">
        <f>SUM(N2:N18)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32" customHeight="1">
      <c r="A1" s="5" t="inlineStr">
        <is>
          <t>Instituicao Bancaria</t>
        </is>
      </c>
      <c r="B1" s="5" t="inlineStr">
        <is>
          <t>Jan/26</t>
        </is>
      </c>
      <c r="C1" s="5" t="inlineStr">
        <is>
          <t>Fev/26</t>
        </is>
      </c>
      <c r="D1" s="5" t="inlineStr">
        <is>
          <t>Mar/26</t>
        </is>
      </c>
      <c r="E1" s="5" t="inlineStr">
        <is>
          <t>Abr/26</t>
        </is>
      </c>
      <c r="F1" s="5" t="inlineStr">
        <is>
          <t>Mai/26</t>
        </is>
      </c>
      <c r="G1" s="5" t="inlineStr">
        <is>
          <t>Jun/26</t>
        </is>
      </c>
      <c r="H1" s="5" t="inlineStr">
        <is>
          <t>Jul/26</t>
        </is>
      </c>
      <c r="I1" s="5" t="inlineStr">
        <is>
          <t>Ago/26</t>
        </is>
      </c>
      <c r="J1" s="5" t="inlineStr">
        <is>
          <t>Set/26</t>
        </is>
      </c>
      <c r="K1" s="5" t="inlineStr">
        <is>
          <t>Out/26</t>
        </is>
      </c>
      <c r="L1" s="5" t="inlineStr">
        <is>
          <t>Nov/26</t>
        </is>
      </c>
      <c r="M1" s="5" t="inlineStr">
        <is>
          <t>Dez/26</t>
        </is>
      </c>
    </row>
    <row r="2" ht="22" customHeight="1">
      <c r="A2" s="9" t="inlineStr">
        <is>
          <t>Unicred Geral</t>
        </is>
      </c>
      <c r="B2" s="7" t="n">
        <v>45000</v>
      </c>
      <c r="C2" s="7" t="n">
        <v>48000</v>
      </c>
      <c r="D2" s="14" t="n"/>
      <c r="E2" s="14" t="n"/>
      <c r="F2" s="14" t="n"/>
      <c r="G2" s="14" t="n"/>
      <c r="H2" s="14" t="n"/>
      <c r="I2" s="14" t="n"/>
      <c r="J2" s="14" t="n"/>
      <c r="K2" s="14" t="n"/>
      <c r="L2" s="14" t="n"/>
      <c r="M2" s="14" t="n"/>
    </row>
    <row r="3" ht="22" customHeight="1">
      <c r="A3" s="13" t="inlineStr">
        <is>
          <t>Infinity Pay</t>
        </is>
      </c>
      <c r="B3" s="11" t="n">
        <v>12000</v>
      </c>
      <c r="C3" s="11" t="n">
        <v>15000</v>
      </c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 ht="22" customHeight="1">
      <c r="A4" s="9" t="inlineStr">
        <is>
          <t>Asaas</t>
        </is>
      </c>
      <c r="B4" s="7" t="n">
        <v>8500</v>
      </c>
      <c r="C4" s="7" t="n">
        <v>9200</v>
      </c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 ht="22" customHeight="1">
      <c r="A5" s="13" t="inlineStr">
        <is>
          <t>Finpet</t>
        </is>
      </c>
      <c r="B5" s="11" t="n">
        <v>18000</v>
      </c>
      <c r="C5" s="11" t="n">
        <v>12000</v>
      </c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 ht="22" customHeight="1">
      <c r="A6" s="9" t="inlineStr">
        <is>
          <t>Dinheiro em Especie</t>
        </is>
      </c>
      <c r="B6" s="7" t="n">
        <v>1600</v>
      </c>
      <c r="C6" s="7" t="n">
        <v>900</v>
      </c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 ht="22" customHeight="1">
      <c r="A7" s="13" t="inlineStr">
        <is>
          <t>Outros</t>
        </is>
      </c>
      <c r="B7" s="11" t="n">
        <v>0</v>
      </c>
      <c r="C7" s="11" t="n">
        <v>0</v>
      </c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 ht="26" customHeight="1">
      <c r="A8" s="15" t="inlineStr">
        <is>
          <t>SALDO TOTAL</t>
        </is>
      </c>
      <c r="B8" s="17">
        <f>SUM(B2:B7)</f>
        <v/>
      </c>
      <c r="C8" s="17">
        <f>SUM(C2:C7)</f>
        <v/>
      </c>
      <c r="D8" s="17">
        <f>SUM(D2:D7)</f>
        <v/>
      </c>
      <c r="E8" s="17">
        <f>SUM(E2:E7)</f>
        <v/>
      </c>
      <c r="F8" s="17">
        <f>SUM(F2:F7)</f>
        <v/>
      </c>
      <c r="G8" s="17">
        <f>SUM(G2:G7)</f>
        <v/>
      </c>
      <c r="H8" s="17">
        <f>SUM(H2:H7)</f>
        <v/>
      </c>
      <c r="I8" s="17">
        <f>SUM(I2:I7)</f>
        <v/>
      </c>
      <c r="J8" s="17">
        <f>SUM(J2:J7)</f>
        <v/>
      </c>
      <c r="K8" s="17">
        <f>SUM(K2:K7)</f>
        <v/>
      </c>
      <c r="L8" s="17">
        <f>SUM(L2:L7)</f>
        <v/>
      </c>
      <c r="M8" s="17">
        <f>SUM(M2:M7)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  <col width="30" customWidth="1" min="3" max="3"/>
    <col width="13" customWidth="1" min="4" max="4"/>
    <col width="22" customWidth="1" min="5" max="5"/>
    <col width="18" customWidth="1" min="6" max="6"/>
    <col width="28" customWidth="1" min="7" max="7"/>
  </cols>
  <sheetData>
    <row r="1" ht="32" customHeight="1">
      <c r="A1" s="5" t="inlineStr">
        <is>
          <t>Data</t>
        </is>
      </c>
      <c r="B1" s="5" t="inlineStr">
        <is>
          <t>Descricao</t>
        </is>
      </c>
      <c r="C1" s="5" t="inlineStr">
        <is>
          <t>Categoria</t>
        </is>
      </c>
      <c r="D1" s="5" t="inlineStr">
        <is>
          <t>Tipo</t>
        </is>
      </c>
      <c r="E1" s="5" t="inlineStr">
        <is>
          <t>Instituicao</t>
        </is>
      </c>
      <c r="F1" s="5" t="inlineStr">
        <is>
          <t>Valor (R$)</t>
        </is>
      </c>
      <c r="G1" s="5" t="inlineStr">
        <is>
          <t>Observacoes</t>
        </is>
      </c>
    </row>
    <row r="2" ht="20" customHeight="1">
      <c r="A2" s="21" t="n">
        <v>46025</v>
      </c>
      <c r="B2" s="9" t="inlineStr">
        <is>
          <t>Recebimento Cliente A</t>
        </is>
      </c>
      <c r="C2" s="9" t="inlineStr">
        <is>
          <t>Faturamento</t>
        </is>
      </c>
      <c r="D2" s="6" t="inlineStr">
        <is>
          <t>Entrada</t>
        </is>
      </c>
      <c r="E2" s="9" t="inlineStr">
        <is>
          <t>Asaas</t>
        </is>
      </c>
      <c r="F2" s="22" t="n">
        <v>95000</v>
      </c>
      <c r="G2" s="9" t="inlineStr"/>
    </row>
    <row r="3" ht="20" customHeight="1">
      <c r="A3" s="23" t="n">
        <v>46027</v>
      </c>
      <c r="B3" s="13" t="inlineStr">
        <is>
          <t>Pagamento Folha Jan</t>
        </is>
      </c>
      <c r="C3" s="13" t="inlineStr">
        <is>
          <t>Salarios + VT + VR + VA</t>
        </is>
      </c>
      <c r="D3" s="10" t="inlineStr">
        <is>
          <t>Saida</t>
        </is>
      </c>
      <c r="E3" s="13" t="inlineStr">
        <is>
          <t>Unicred Geral</t>
        </is>
      </c>
      <c r="F3" s="24" t="n">
        <v>85000</v>
      </c>
      <c r="G3" s="13" t="inlineStr"/>
    </row>
    <row r="4" ht="20" customHeight="1">
      <c r="A4" s="21" t="n">
        <v>46029</v>
      </c>
      <c r="B4" s="9" t="inlineStr">
        <is>
          <t>Compra Insumos Lote 1</t>
        </is>
      </c>
      <c r="C4" s="9" t="inlineStr">
        <is>
          <t>Insumos</t>
        </is>
      </c>
      <c r="D4" s="6" t="inlineStr">
        <is>
          <t>Saida</t>
        </is>
      </c>
      <c r="E4" s="9" t="inlineStr">
        <is>
          <t>Unicred Geral</t>
        </is>
      </c>
      <c r="F4" s="25" t="n">
        <v>18500</v>
      </c>
      <c r="G4" s="9" t="inlineStr"/>
    </row>
    <row r="5" ht="20" customHeight="1">
      <c r="A5" s="23" t="n">
        <v>46030</v>
      </c>
      <c r="B5" s="13" t="inlineStr">
        <is>
          <t>Recebimento Cliente B</t>
        </is>
      </c>
      <c r="C5" s="13" t="inlineStr">
        <is>
          <t>Faturamento</t>
        </is>
      </c>
      <c r="D5" s="10" t="inlineStr">
        <is>
          <t>Entrada</t>
        </is>
      </c>
      <c r="E5" s="13" t="inlineStr">
        <is>
          <t>Infinity Pay</t>
        </is>
      </c>
      <c r="F5" s="26" t="n">
        <v>42000</v>
      </c>
      <c r="G5" s="13" t="inlineStr"/>
    </row>
    <row r="6" ht="20" customHeight="1">
      <c r="A6" s="21" t="n">
        <v>46032</v>
      </c>
      <c r="B6" s="9" t="inlineStr">
        <is>
          <t>Aluguel Imovel Jan</t>
        </is>
      </c>
      <c r="C6" s="9" t="inlineStr">
        <is>
          <t>Despesas com Imovel</t>
        </is>
      </c>
      <c r="D6" s="6" t="inlineStr">
        <is>
          <t>Saida</t>
        </is>
      </c>
      <c r="E6" s="9" t="inlineStr">
        <is>
          <t>Unicred Geral</t>
        </is>
      </c>
      <c r="F6" s="25" t="n">
        <v>12000</v>
      </c>
      <c r="G6" s="9" t="inlineStr"/>
    </row>
    <row r="7" ht="20" customHeight="1">
      <c r="A7" s="23" t="n">
        <v>46034</v>
      </c>
      <c r="B7" s="13" t="inlineStr">
        <is>
          <t>Parcela Financiamento</t>
        </is>
      </c>
      <c r="C7" s="13" t="inlineStr">
        <is>
          <t>Despesa Emprestimo/Financiamento</t>
        </is>
      </c>
      <c r="D7" s="10" t="inlineStr">
        <is>
          <t>Saida</t>
        </is>
      </c>
      <c r="E7" s="13" t="inlineStr">
        <is>
          <t>Unicred Geral</t>
        </is>
      </c>
      <c r="F7" s="24" t="n">
        <v>18000</v>
      </c>
      <c r="G7" s="13" t="inlineStr"/>
    </row>
    <row r="8" ht="20" customHeight="1">
      <c r="A8" s="21" t="n">
        <v>46036</v>
      </c>
      <c r="B8" s="9" t="inlineStr">
        <is>
          <t>Servicos Contabilidade</t>
        </is>
      </c>
      <c r="C8" s="9" t="inlineStr">
        <is>
          <t>Profissionais Externos</t>
        </is>
      </c>
      <c r="D8" s="6" t="inlineStr">
        <is>
          <t>Saida</t>
        </is>
      </c>
      <c r="E8" s="9" t="inlineStr">
        <is>
          <t>Asaas</t>
        </is>
      </c>
      <c r="F8" s="25" t="n">
        <v>4500</v>
      </c>
      <c r="G8" s="9" t="inlineStr"/>
    </row>
    <row r="9" ht="20" customHeight="1">
      <c r="A9" s="23" t="n">
        <v>46037</v>
      </c>
      <c r="B9" s="13" t="inlineStr">
        <is>
          <t>DARF Simples Nacional</t>
        </is>
      </c>
      <c r="C9" s="13" t="inlineStr">
        <is>
          <t>Imposto sobre Vendas</t>
        </is>
      </c>
      <c r="D9" s="10" t="inlineStr">
        <is>
          <t>Saida</t>
        </is>
      </c>
      <c r="E9" s="13" t="inlineStr">
        <is>
          <t>Unicred Geral</t>
        </is>
      </c>
      <c r="F9" s="24" t="n">
        <v>28000</v>
      </c>
      <c r="G9" s="13" t="inlineStr"/>
    </row>
    <row r="10" ht="20" customHeight="1">
      <c r="A10" s="21" t="n">
        <v>46038</v>
      </c>
      <c r="B10" s="9" t="inlineStr">
        <is>
          <t>Recebimento Cliente C</t>
        </is>
      </c>
      <c r="C10" s="9" t="inlineStr">
        <is>
          <t>Faturamento</t>
        </is>
      </c>
      <c r="D10" s="6" t="inlineStr">
        <is>
          <t>Entrada</t>
        </is>
      </c>
      <c r="E10" s="9" t="inlineStr">
        <is>
          <t>Asaas</t>
        </is>
      </c>
      <c r="F10" s="22" t="n">
        <v>58000</v>
      </c>
      <c r="G10" s="9" t="inlineStr"/>
    </row>
    <row r="11" ht="20" customHeight="1">
      <c r="A11" s="23" t="n">
        <v>46040</v>
      </c>
      <c r="B11" s="13" t="inlineStr">
        <is>
          <t>Google Ads Jan</t>
        </is>
      </c>
      <c r="C11" s="13" t="inlineStr">
        <is>
          <t>Marketing</t>
        </is>
      </c>
      <c r="D11" s="10" t="inlineStr">
        <is>
          <t>Saida</t>
        </is>
      </c>
      <c r="E11" s="13" t="inlineStr">
        <is>
          <t>Infinity Pay</t>
        </is>
      </c>
      <c r="F11" s="24" t="n">
        <v>4500</v>
      </c>
      <c r="G11" s="13" t="inlineStr"/>
    </row>
    <row r="12" ht="20" customHeight="1">
      <c r="A12" s="21" t="n">
        <v>46042</v>
      </c>
      <c r="B12" s="9" t="inlineStr">
        <is>
          <t>Tarifa Bancaria Unicred</t>
        </is>
      </c>
      <c r="C12" s="9" t="inlineStr">
        <is>
          <t>Despesas Financeiras</t>
        </is>
      </c>
      <c r="D12" s="6" t="inlineStr">
        <is>
          <t>Saida</t>
        </is>
      </c>
      <c r="E12" s="9" t="inlineStr">
        <is>
          <t>Unicred Geral</t>
        </is>
      </c>
      <c r="F12" s="25" t="n">
        <v>1200</v>
      </c>
      <c r="G12" s="9" t="inlineStr"/>
    </row>
    <row r="13" ht="20" customHeight="1">
      <c r="A13" s="23" t="n">
        <v>46044</v>
      </c>
      <c r="B13" s="13" t="inlineStr">
        <is>
          <t>Compra Insumos Lote 2</t>
        </is>
      </c>
      <c r="C13" s="13" t="inlineStr">
        <is>
          <t>Insumos</t>
        </is>
      </c>
      <c r="D13" s="10" t="inlineStr">
        <is>
          <t>Saida</t>
        </is>
      </c>
      <c r="E13" s="13" t="inlineStr">
        <is>
          <t>Finpet</t>
        </is>
      </c>
      <c r="F13" s="24" t="n">
        <v>19500</v>
      </c>
      <c r="G13" s="13" t="inlineStr"/>
    </row>
    <row r="14" ht="20" customHeight="1">
      <c r="A14" s="21" t="n">
        <v>46046</v>
      </c>
      <c r="B14" s="9" t="inlineStr">
        <is>
          <t>Recebimento Cliente D</t>
        </is>
      </c>
      <c r="C14" s="9" t="inlineStr">
        <is>
          <t>Faturamento</t>
        </is>
      </c>
      <c r="D14" s="6" t="inlineStr">
        <is>
          <t>Entrada</t>
        </is>
      </c>
      <c r="E14" s="9" t="inlineStr">
        <is>
          <t>Asaas</t>
        </is>
      </c>
      <c r="F14" s="22" t="n">
        <v>75000</v>
      </c>
      <c r="G14" s="9" t="inlineStr"/>
    </row>
    <row r="15" ht="20" customHeight="1">
      <c r="A15" s="23" t="n">
        <v>46047</v>
      </c>
      <c r="B15" s="13" t="inlineStr">
        <is>
          <t>FGTS Jan</t>
        </is>
      </c>
      <c r="C15" s="13" t="inlineStr">
        <is>
          <t>Impostos/Despesas Salarios</t>
        </is>
      </c>
      <c r="D15" s="10" t="inlineStr">
        <is>
          <t>Saida</t>
        </is>
      </c>
      <c r="E15" s="13" t="inlineStr">
        <is>
          <t>Unicred Geral</t>
        </is>
      </c>
      <c r="F15" s="24" t="n">
        <v>8500</v>
      </c>
      <c r="G15" s="13" t="inlineStr"/>
    </row>
    <row r="16" ht="20" customHeight="1">
      <c r="A16" s="21" t="n">
        <v>46050</v>
      </c>
      <c r="B16" s="9" t="inlineStr">
        <is>
          <t>Licenca Software ERP</t>
        </is>
      </c>
      <c r="C16" s="9" t="inlineStr">
        <is>
          <t>Despesa TI + Telecom</t>
        </is>
      </c>
      <c r="D16" s="6" t="inlineStr">
        <is>
          <t>Saida</t>
        </is>
      </c>
      <c r="E16" s="9" t="inlineStr">
        <is>
          <t>Infinity Pay</t>
        </is>
      </c>
      <c r="F16" s="25" t="n">
        <v>3200</v>
      </c>
      <c r="G16" s="9" t="inlineStr"/>
    </row>
    <row r="17" ht="20" customHeight="1">
      <c r="A17" s="23" t="n">
        <v>46051</v>
      </c>
      <c r="B17" s="13" t="inlineStr">
        <is>
          <t>Combustivel Veiculos Jan</t>
        </is>
      </c>
      <c r="C17" s="13" t="inlineStr">
        <is>
          <t>Despesa Veiculos</t>
        </is>
      </c>
      <c r="D17" s="10" t="inlineStr">
        <is>
          <t>Saida</t>
        </is>
      </c>
      <c r="E17" s="13" t="inlineStr">
        <is>
          <t>Dinheiro em Especie</t>
        </is>
      </c>
      <c r="F17" s="24" t="n">
        <v>2800</v>
      </c>
      <c r="G17" s="13" t="inlineStr"/>
    </row>
    <row r="18" ht="20" customHeight="1">
      <c r="A18" s="21" t="n">
        <v>46052</v>
      </c>
      <c r="B18" s="9" t="inlineStr">
        <is>
          <t>Recebimento Cliente E</t>
        </is>
      </c>
      <c r="C18" s="9" t="inlineStr">
        <is>
          <t>Faturamento</t>
        </is>
      </c>
      <c r="D18" s="6" t="inlineStr">
        <is>
          <t>Entrada</t>
        </is>
      </c>
      <c r="E18" s="9" t="inlineStr">
        <is>
          <t>Asaas</t>
        </is>
      </c>
      <c r="F18" s="22" t="n">
        <v>125000</v>
      </c>
      <c r="G18" s="9" t="inlineStr"/>
    </row>
    <row r="19" ht="20" customHeight="1">
      <c r="A19" s="23" t="n">
        <v>46056</v>
      </c>
      <c r="B19" s="13" t="inlineStr">
        <is>
          <t>Recebimento Cliente A Fev</t>
        </is>
      </c>
      <c r="C19" s="13" t="inlineStr">
        <is>
          <t>Faturamento</t>
        </is>
      </c>
      <c r="D19" s="10" t="inlineStr">
        <is>
          <t>Entrada</t>
        </is>
      </c>
      <c r="E19" s="13" t="inlineStr">
        <is>
          <t>Asaas</t>
        </is>
      </c>
      <c r="F19" s="26" t="n">
        <v>92000</v>
      </c>
      <c r="G19" s="13" t="inlineStr"/>
    </row>
    <row r="20" ht="20" customHeight="1">
      <c r="A20" s="21" t="n">
        <v>46058</v>
      </c>
      <c r="B20" s="9" t="inlineStr">
        <is>
          <t>Pagamento Folha Fev</t>
        </is>
      </c>
      <c r="C20" s="9" t="inlineStr">
        <is>
          <t>Salarios + VT + VR + VA</t>
        </is>
      </c>
      <c r="D20" s="6" t="inlineStr">
        <is>
          <t>Saida</t>
        </is>
      </c>
      <c r="E20" s="9" t="inlineStr">
        <is>
          <t>Unicred Geral</t>
        </is>
      </c>
      <c r="F20" s="25" t="n">
        <v>88000</v>
      </c>
      <c r="G20" s="9" t="inlineStr"/>
    </row>
    <row r="21" ht="20" customHeight="1">
      <c r="A21" s="23" t="n">
        <v>46060</v>
      </c>
      <c r="B21" s="13" t="inlineStr">
        <is>
          <t>Laboratorio Externo Analise</t>
        </is>
      </c>
      <c r="C21" s="13" t="inlineStr">
        <is>
          <t>Laboratorios Externos</t>
        </is>
      </c>
      <c r="D21" s="10" t="inlineStr">
        <is>
          <t>Saida</t>
        </is>
      </c>
      <c r="E21" s="13" t="inlineStr">
        <is>
          <t>Unicred Geral</t>
        </is>
      </c>
      <c r="F21" s="24" t="n">
        <v>9500</v>
      </c>
      <c r="G21" s="13" t="inlineStr"/>
    </row>
    <row r="22" ht="20" customHeight="1">
      <c r="A22" s="21" t="n">
        <v>46062</v>
      </c>
      <c r="B22" s="9" t="inlineStr">
        <is>
          <t>Recebimento Cliente B Fev</t>
        </is>
      </c>
      <c r="C22" s="9" t="inlineStr">
        <is>
          <t>Faturamento</t>
        </is>
      </c>
      <c r="D22" s="6" t="inlineStr">
        <is>
          <t>Entrada</t>
        </is>
      </c>
      <c r="E22" s="9" t="inlineStr">
        <is>
          <t>Infinity Pay</t>
        </is>
      </c>
      <c r="F22" s="22" t="n">
        <v>38000</v>
      </c>
      <c r="G22" s="9" t="inlineStr"/>
    </row>
    <row r="23" ht="20" customHeight="1">
      <c r="A23" s="23" t="n">
        <v>46063</v>
      </c>
      <c r="B23" s="13" t="inlineStr">
        <is>
          <t>Aluguel Imovel Fev</t>
        </is>
      </c>
      <c r="C23" s="13" t="inlineStr">
        <is>
          <t>Despesas com Imovel</t>
        </is>
      </c>
      <c r="D23" s="10" t="inlineStr">
        <is>
          <t>Saida</t>
        </is>
      </c>
      <c r="E23" s="13" t="inlineStr">
        <is>
          <t>Unicred Geral</t>
        </is>
      </c>
      <c r="F23" s="24" t="n">
        <v>12000</v>
      </c>
      <c r="G23" s="13" t="inlineStr"/>
    </row>
    <row r="24" ht="20" customHeight="1">
      <c r="A24" s="21" t="n">
        <v>46065</v>
      </c>
      <c r="B24" s="9" t="inlineStr">
        <is>
          <t>Parcela Financiamento Fev</t>
        </is>
      </c>
      <c r="C24" s="9" t="inlineStr">
        <is>
          <t>Despesa Emprestimo/Financiamento</t>
        </is>
      </c>
      <c r="D24" s="6" t="inlineStr">
        <is>
          <t>Saida</t>
        </is>
      </c>
      <c r="E24" s="9" t="inlineStr">
        <is>
          <t>Unicred Geral</t>
        </is>
      </c>
      <c r="F24" s="25" t="n">
        <v>18000</v>
      </c>
      <c r="G24" s="9" t="inlineStr"/>
    </row>
    <row r="25" ht="20" customHeight="1">
      <c r="A25" s="23" t="n">
        <v>46067</v>
      </c>
      <c r="B25" s="13" t="inlineStr">
        <is>
          <t>Instagram Ads Fev</t>
        </is>
      </c>
      <c r="C25" s="13" t="inlineStr">
        <is>
          <t>Marketing</t>
        </is>
      </c>
      <c r="D25" s="10" t="inlineStr">
        <is>
          <t>Saida</t>
        </is>
      </c>
      <c r="E25" s="13" t="inlineStr">
        <is>
          <t>Infinity Pay</t>
        </is>
      </c>
      <c r="F25" s="24" t="n">
        <v>5000</v>
      </c>
      <c r="G25" s="13" t="inlineStr"/>
    </row>
    <row r="26" ht="20" customHeight="1">
      <c r="A26" s="21" t="n">
        <v>46068</v>
      </c>
      <c r="B26" s="9" t="inlineStr">
        <is>
          <t>DARF Simples Nacional Fev</t>
        </is>
      </c>
      <c r="C26" s="9" t="inlineStr">
        <is>
          <t>Imposto sobre Vendas</t>
        </is>
      </c>
      <c r="D26" s="6" t="inlineStr">
        <is>
          <t>Saida</t>
        </is>
      </c>
      <c r="E26" s="9" t="inlineStr">
        <is>
          <t>Unicred Geral</t>
        </is>
      </c>
      <c r="F26" s="25" t="n">
        <v>25500</v>
      </c>
      <c r="G26" s="9" t="inlineStr"/>
    </row>
    <row r="27" ht="20" customHeight="1">
      <c r="A27" s="23" t="n">
        <v>46071</v>
      </c>
      <c r="B27" s="13" t="inlineStr">
        <is>
          <t>Recebimento Cliente F</t>
        </is>
      </c>
      <c r="C27" s="13" t="inlineStr">
        <is>
          <t>Faturamento</t>
        </is>
      </c>
      <c r="D27" s="10" t="inlineStr">
        <is>
          <t>Entrada</t>
        </is>
      </c>
      <c r="E27" s="13" t="inlineStr">
        <is>
          <t>Asaas</t>
        </is>
      </c>
      <c r="F27" s="26" t="n">
        <v>44000</v>
      </c>
      <c r="G27" s="13" t="inlineStr"/>
    </row>
    <row r="28" ht="20" customHeight="1">
      <c r="A28" s="21" t="n">
        <v>46073</v>
      </c>
      <c r="B28" s="9" t="inlineStr">
        <is>
          <t>Equipe Tecnica Fev</t>
        </is>
      </c>
      <c r="C28" s="9" t="inlineStr">
        <is>
          <t>Equipe Tecnica</t>
        </is>
      </c>
      <c r="D28" s="6" t="inlineStr">
        <is>
          <t>Saida</t>
        </is>
      </c>
      <c r="E28" s="9" t="inlineStr">
        <is>
          <t>Unicred Geral</t>
        </is>
      </c>
      <c r="F28" s="25" t="n">
        <v>47000</v>
      </c>
      <c r="G28" s="9" t="inlineStr"/>
    </row>
    <row r="29" ht="20" customHeight="1">
      <c r="A29" s="23" t="n">
        <v>46075</v>
      </c>
      <c r="B29" s="13" t="inlineStr">
        <is>
          <t>Compra Insumos Fev</t>
        </is>
      </c>
      <c r="C29" s="13" t="inlineStr">
        <is>
          <t>Insumos</t>
        </is>
      </c>
      <c r="D29" s="10" t="inlineStr">
        <is>
          <t>Saida</t>
        </is>
      </c>
      <c r="E29" s="13" t="inlineStr">
        <is>
          <t>Finpet</t>
        </is>
      </c>
      <c r="F29" s="24" t="n">
        <v>41000</v>
      </c>
      <c r="G29" s="13" t="inlineStr"/>
    </row>
    <row r="30" ht="20" customHeight="1">
      <c r="A30" s="21" t="n">
        <v>46078</v>
      </c>
      <c r="B30" s="9" t="inlineStr">
        <is>
          <t>FGTS Fev</t>
        </is>
      </c>
      <c r="C30" s="9" t="inlineStr">
        <is>
          <t>Impostos/Despesas Salarios</t>
        </is>
      </c>
      <c r="D30" s="6" t="inlineStr">
        <is>
          <t>Saida</t>
        </is>
      </c>
      <c r="E30" s="9" t="inlineStr">
        <is>
          <t>Unicred Geral</t>
        </is>
      </c>
      <c r="F30" s="25" t="n">
        <v>8800</v>
      </c>
      <c r="G30" s="9" t="inlineStr"/>
    </row>
    <row r="31" ht="20" customHeight="1">
      <c r="A31" s="23" t="n">
        <v>46081</v>
      </c>
      <c r="B31" s="13" t="inlineStr">
        <is>
          <t>Recebimento Cliente G</t>
        </is>
      </c>
      <c r="C31" s="13" t="inlineStr">
        <is>
          <t>Faturamento</t>
        </is>
      </c>
      <c r="D31" s="10" t="inlineStr">
        <is>
          <t>Entrada</t>
        </is>
      </c>
      <c r="E31" s="13" t="inlineStr">
        <is>
          <t>Asaas</t>
        </is>
      </c>
      <c r="F31" s="26" t="n">
        <v>83500</v>
      </c>
      <c r="G31" s="13" t="inlineStr"/>
    </row>
  </sheetData>
  <autoFilter ref="A1:G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2026-04-08T12:36:53Z</dcterms:created>
  <dcterms:modified xsi:type="dcterms:W3CDTF">2026-04-08T12:36:53Z</dcterms:modified>
</cp:coreProperties>
</file>